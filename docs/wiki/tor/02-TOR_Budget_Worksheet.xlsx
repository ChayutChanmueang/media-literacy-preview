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มมติฐาน" sheetId="1" state="visible" r:id="rId1"/>
    <sheet xmlns:r="http://schemas.openxmlformats.org/officeDocument/2006/relationships" name="ขอบเขตงานและประมาณการ" sheetId="2" state="visible" r:id="rId2"/>
    <sheet xmlns:r="http://schemas.openxmlformats.org/officeDocument/2006/relationships" name="คำแนะนำสรุ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9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b val="1"/>
      <color rgb="00FFFFFF"/>
      <sz val="10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i val="1"/>
      <color rgb="00595959"/>
      <sz val="9"/>
    </font>
    <font>
      <name val="Tahoma"/>
      <b val="1"/>
      <color rgb="001F4E78"/>
      <sz val="10"/>
    </font>
    <font>
      <name val="Tahoma"/>
      <i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4" fillId="0" borderId="0" pivotButton="0" quotePrefix="0" xfId="0"/>
    <xf numFmtId="3" fontId="3" fillId="0" borderId="0" pivotButton="0" quotePrefix="0" xfId="0"/>
    <xf numFmtId="0" fontId="6" fillId="0" borderId="0" pivotButton="0" quotePrefix="0" xfId="0"/>
    <xf numFmtId="9" fontId="3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3" fontId="4" fillId="0" borderId="0" pivotButton="0" quotePrefix="0" xfId="0"/>
    <xf numFmtId="0" fontId="3" fillId="0" borderId="0" pivotButton="0" quotePrefix="0" xfId="0"/>
    <xf numFmtId="0" fontId="8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/>
    </xf>
    <xf numFmtId="3" fontId="3" fillId="4" borderId="1" applyAlignment="1" pivotButton="0" quotePrefix="0" xfId="0">
      <alignment vertical="center"/>
    </xf>
    <xf numFmtId="165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164" fontId="3" fillId="5" borderId="1" applyAlignment="1" pivotButton="0" quotePrefix="0" xfId="0">
      <alignment vertical="center"/>
    </xf>
    <xf numFmtId="3" fontId="3" fillId="5" borderId="1" applyAlignment="1" pivotButton="0" quotePrefix="0" xfId="0">
      <alignment vertical="center"/>
    </xf>
    <xf numFmtId="165" fontId="3" fillId="5" borderId="1" applyAlignment="1" pivotButton="0" quotePrefix="0" xfId="0">
      <alignment vertical="center"/>
    </xf>
    <xf numFmtId="0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  <xf numFmtId="0" fontId="3" fillId="0" borderId="1" pivotButton="0" quotePrefix="0" xfId="0"/>
    <xf numFmtId="9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65" fontId="3" fillId="7" borderId="1" pivotButton="0" quotePrefix="0" xfId="0"/>
    <xf numFmtId="0" fontId="5" fillId="6" borderId="1" pivotButton="0" quotePrefix="0" xfId="0"/>
    <xf numFmtId="164" fontId="5" fillId="6" borderId="1" pivotButton="0" quotePrefix="0" xfId="0"/>
    <xf numFmtId="3" fontId="5" fillId="6" borderId="1" pivotButton="0" quotePrefix="0" xfId="0"/>
    <xf numFmtId="165" fontId="5" fillId="6" borderId="1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5" customWidth="1" min="3" max="3"/>
  </cols>
  <sheetData>
    <row r="1" ht="26" customHeight="1">
      <c r="A1" s="1" t="inlineStr">
        <is>
          <t>สมมติฐานการคำนวณงบประมาณ - TOR Interactive เกม-ระบบ</t>
        </is>
      </c>
    </row>
    <row r="3">
      <c r="A3" s="2" t="inlineStr">
        <is>
          <t>งบประมาณโครงการทั้งหมด (บาท)</t>
        </is>
      </c>
      <c r="B3" s="3" t="n">
        <v>360000</v>
      </c>
      <c r="C3" s="4" t="inlineStr">
        <is>
          <t>จากเอกสาร TOR: งบ 'อบรมเชิงปฏิบัติการในชุมชน'</t>
        </is>
      </c>
    </row>
    <row r="4">
      <c r="A4" s="2" t="inlineStr">
        <is>
          <t>สัดส่วนงบสำหรับพัฒนาระบบ (Dev) (%) - ไว้เทียบเท่านั้น</t>
        </is>
      </c>
      <c r="B4" s="5" t="n">
        <v>0.65</v>
      </c>
      <c r="C4" s="4" t="inlineStr">
        <is>
          <t>[ปรับได้] TOR ไม่ได้แยกงบพัฒนาระบบจากงบอบรม/เดินทาง/วิทยากร ต้องยืนยันสัดส่วนจริงกับผู้รับผิดชอบโครงการ</t>
        </is>
      </c>
    </row>
    <row r="5">
      <c r="A5" s="2" t="inlineStr">
        <is>
          <t>งบประมาณสำหรับพัฒนาระบบ (ตามสัดส่วน, บาท)</t>
        </is>
      </c>
      <c r="B5" s="3">
        <f>B3*B4</f>
        <v/>
      </c>
      <c r="C5" s="4">
        <f> งบทั้งหมด x สัดส่วน Dev (ใช้เทียบเคียงเท่านั้น ไม่ได้ขับเคลื่อนตัวเลขด้านล่าง)</f>
        <v/>
      </c>
    </row>
    <row r="7">
      <c r="A7" s="2" t="inlineStr">
        <is>
          <t>สูตรคำนวณให้ยอด WBS รวมได้ครบ 360,000 พอดี (Solver)</t>
        </is>
      </c>
    </row>
    <row r="8">
      <c r="A8" s="2" t="inlineStr">
        <is>
          <t>งบเป้าหมายที่ต้องการให้ WBS รวมได้พอดี (บาท)</t>
        </is>
      </c>
      <c r="B8" s="3">
        <f>B3</f>
        <v/>
      </c>
      <c r="C8" s="4" t="inlineStr">
        <is>
          <t>ค่าเริ่มต้น = งบทั้งหมด (B3) เปลี่ยนเป็น =B5 ได้ถ้าต้องการให้พอดีเฉพาะงบ Dev</t>
        </is>
      </c>
    </row>
    <row r="9">
      <c r="A9" s="2" t="inlineStr">
        <is>
          <t>รวม Man-day ทั้งหมดจาก WBS (คงที่ ไม่ขึ้นกับอัตรา/วัน)</t>
        </is>
      </c>
      <c r="B9" s="6">
        <f>'ขอบเขตงานและประมาณการ'!H20</f>
        <v/>
      </c>
      <c r="C9" s="4" t="inlineStr">
        <is>
          <t>ดึงจากชีต 'ขอบเขตงานและประมาณการ' แถวรวมทั้งหมด</t>
        </is>
      </c>
    </row>
    <row r="10">
      <c r="A10" s="2" t="inlineStr">
        <is>
          <t>อัตรา/วัน Auto (= งบเป้าหมาย / Man-day รวม) *** ใช้ค่านี้ขับเคลื่อน WBS ***</t>
        </is>
      </c>
      <c r="B10" s="7">
        <f>B8/B9</f>
        <v/>
      </c>
      <c r="C10" s="4" t="inlineStr">
        <is>
          <t>ทุกแถวใน WBS อ้างอิงอัตรานี้ ทำให้ผลรวมท้ายตาราง WBS เท่ากับงบเป้าหมายพอดีเสมอ</t>
        </is>
      </c>
    </row>
    <row r="11">
      <c r="A11" s="2" t="inlineStr">
        <is>
          <t>อัตรา/วันตลาดอ้างอิง (Manual, ไว้เปรียบเทียบ)</t>
        </is>
      </c>
      <c r="B11" s="3" t="n">
        <v>3000</v>
      </c>
      <c r="C11" s="4" t="inlineStr">
        <is>
          <t>[ปรับได้] อัตราตลาดจริงโดยประมาณ ไม่ได้ใช้ขับเคลื่อน WBS</t>
        </is>
      </c>
    </row>
    <row r="12">
      <c r="A12" s="2" t="inlineStr">
        <is>
          <t>งบที่ต้องใช้จริง ถ้าใช้อัตราตลาดอ้างอิง (บาท)</t>
        </is>
      </c>
      <c r="B12" s="3">
        <f>B9*B11</f>
        <v/>
      </c>
      <c r="C12" s="4">
        <f> Man-day รวม x อัตราตลาดอ้างอิง</f>
        <v/>
      </c>
    </row>
    <row r="13">
      <c r="A13" s="2" t="inlineStr">
        <is>
          <t>ส่วนต่างจากงบเป้าหมาย ที่อัตราตลาด (+ = มีงบเหลือขยายขอบเขต / - = เกินงบต้องตัดงาน)</t>
        </is>
      </c>
      <c r="B13" s="8">
        <f>B8-B12</f>
        <v/>
      </c>
      <c r="C13" s="4">
        <f> งบเป้าหมาย - งบที่ต้องใช้จริงที่อัตราตลาด</f>
        <v/>
      </c>
    </row>
    <row r="15">
      <c r="A15" s="2" t="inlineStr">
        <is>
          <t>กรอบระยะเวลา (อ้างอิง TOR)</t>
        </is>
      </c>
    </row>
    <row r="16">
      <c r="A16" s="9" t="inlineStr">
        <is>
          <t>ระยะเวลาออกแบบสื่อ</t>
        </is>
      </c>
      <c r="B16" s="9" t="inlineStr">
        <is>
          <t>กรกฎาคม - ตุลาคม 2569 (~4 เดือน)</t>
        </is>
      </c>
    </row>
    <row r="17">
      <c r="A17" s="9" t="inlineStr">
        <is>
          <t>ใช้งานจริงครั้งแรก - เชียงใหม่</t>
        </is>
      </c>
      <c r="B17" s="9" t="inlineStr">
        <is>
          <t>6-7 สิงหาคม 2569</t>
        </is>
      </c>
    </row>
    <row r="18">
      <c r="A18" s="9" t="inlineStr">
        <is>
          <t>ใช้งานจริงครั้งแรก - แพร่</t>
        </is>
      </c>
      <c r="B18" s="9" t="inlineStr">
        <is>
          <t>17-18 สิงหาคม 2569</t>
        </is>
      </c>
    </row>
    <row r="19">
      <c r="A19" s="9" t="inlineStr">
        <is>
          <t>ใช้งานจริงครั้งแรก - น่าน</t>
        </is>
      </c>
      <c r="B19" s="9" t="inlineStr">
        <is>
          <t>24-25 สิงหาคม 2569</t>
        </is>
      </c>
    </row>
    <row r="21">
      <c r="A21" s="2" t="inlineStr">
        <is>
          <t>ตรวจสอบผลลัพธ์ (ควรเท่ากับงบเป้าหมายพอดี)</t>
        </is>
      </c>
    </row>
    <row r="22">
      <c r="A22" s="2" t="inlineStr">
        <is>
          <t>รวม Man-day ทั้งหมด (จากตาราง WBS)</t>
        </is>
      </c>
      <c r="B22" s="6">
        <f>'ขอบเขตงานและประมาณการ'!H20</f>
        <v/>
      </c>
    </row>
    <row r="23">
      <c r="A23" s="2" t="inlineStr">
        <is>
          <t>รวมเงินทั้งหมด (จากตาราง WBS ด้วยอัตรา Auto)</t>
        </is>
      </c>
      <c r="B23" s="3">
        <f>'ขอบเขตงานและประมาณการ'!J20</f>
        <v/>
      </c>
    </row>
    <row r="24">
      <c r="A24" s="2" t="inlineStr">
        <is>
          <t>งบเป้าหมาย (จาก Solver ด้านบน)</t>
        </is>
      </c>
      <c r="B24" s="3">
        <f>B8</f>
        <v/>
      </c>
    </row>
    <row r="25">
      <c r="A25" s="2" t="inlineStr">
        <is>
          <t>ส่วนต่าง (ควรเป็น 0 พอดี)</t>
        </is>
      </c>
      <c r="B25" s="8">
        <f>B24-B23</f>
        <v/>
      </c>
    </row>
    <row r="27">
      <c r="A27" s="10" t="inlineStr">
        <is>
          <t>หมายเหตุ: 360,000 บาท ในเอกสารต้นทางระบุเป็นงบรวมของ 'อบรมเชิงปฏิบัติการในชุมชน' ไม่ได้ระบุแยกเป็นงบพัฒนาระบบโดยเฉพาะ ตัวเลขในไฟล์นี้เป็นการประมาณการเพื่อใช้วางแผน ควรยืนยันสัดส่วนงบจริงกับผู้รับผิดชอบโครงการก่อนใช้อ้างอิงในสัญญา</t>
        </is>
      </c>
    </row>
    <row r="28"/>
    <row r="29"/>
  </sheetData>
  <mergeCells count="2">
    <mergeCell ref="A1:C1"/>
    <mergeCell ref="A27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46" customWidth="1" min="4" max="4"/>
    <col width="9" customWidth="1" min="5" max="5"/>
    <col width="9" customWidth="1" min="6" max="6"/>
    <col width="13" customWidth="1" min="7" max="7"/>
    <col width="12" customWidth="1" min="8" max="8"/>
    <col width="13" customWidth="1" min="9" max="9"/>
    <col width="13" customWidth="1" min="10" max="10"/>
    <col width="32" customWidth="1" min="11" max="11"/>
    <col width="12" customWidth="1" min="12" max="12"/>
  </cols>
  <sheetData>
    <row r="1" ht="26" customHeight="1">
      <c r="A1" s="11" t="inlineStr">
        <is>
          <t>ขอบเขตงาน (WBS) และประมาณการ Man-day / งบประมาณ</t>
        </is>
      </c>
    </row>
    <row r="3" ht="30" customHeight="1">
      <c r="A3" s="12" t="inlineStr">
        <is>
          <t>ลำดับ</t>
        </is>
      </c>
      <c r="B3" s="12" t="inlineStr">
        <is>
          <t>เฟส</t>
        </is>
      </c>
      <c r="C3" s="12" t="inlineStr">
        <is>
          <t>หมวดงาน</t>
        </is>
      </c>
      <c r="D3" s="12" t="inlineStr">
        <is>
          <t>รายการงาน</t>
        </is>
      </c>
      <c r="E3" s="12" t="inlineStr">
        <is>
          <t>ปริมาณ</t>
        </is>
      </c>
      <c r="F3" s="12" t="inlineStr">
        <is>
          <t>หน่วย</t>
        </is>
      </c>
      <c r="G3" s="12" t="inlineStr">
        <is>
          <t>Man-day/หน่วย</t>
        </is>
      </c>
      <c r="H3" s="12" t="inlineStr">
        <is>
          <t>รวม Man-day</t>
        </is>
      </c>
      <c r="I3" s="12" t="inlineStr">
        <is>
          <t>อัตรา/วัน (บาท)</t>
        </is>
      </c>
      <c r="J3" s="12" t="inlineStr">
        <is>
          <t>รวมเงิน (บาท)</t>
        </is>
      </c>
      <c r="K3" s="12" t="inlineStr">
        <is>
          <t>หมายเหตุ</t>
        </is>
      </c>
      <c r="L3" s="12" t="inlineStr">
        <is>
          <t>สัดส่วนงบ (%)</t>
        </is>
      </c>
    </row>
    <row r="4">
      <c r="A4" s="13" t="n">
        <v>1</v>
      </c>
      <c r="B4" s="13" t="inlineStr">
        <is>
          <t>Phase 1 (MVP ก่อน 6 ส.ค. 69)</t>
        </is>
      </c>
      <c r="C4" s="14" t="inlineStr">
        <is>
          <t>A. แพลตฟอร์มหลัก</t>
        </is>
      </c>
      <c r="D4" s="14" t="inlineStr">
        <is>
          <t>ออกแบบ UX/UI สำหรับผู้สูงอายุ (ตัวอักษรใหญ่ ปุ่มชัดเจน อ่านง่าย)</t>
        </is>
      </c>
      <c r="E4" s="13" t="n">
        <v>1</v>
      </c>
      <c r="F4" s="13" t="inlineStr">
        <is>
          <t>งาน</t>
        </is>
      </c>
      <c r="G4" s="13" t="n">
        <v>5</v>
      </c>
      <c r="H4" s="15">
        <f>E4*G4</f>
        <v/>
      </c>
      <c r="I4" s="16">
        <f>สมมติฐาน!$B$10</f>
        <v/>
      </c>
      <c r="J4" s="16">
        <f>H4*I4</f>
        <v/>
      </c>
      <c r="K4" s="14" t="inlineStr">
        <is>
          <t>Accessibility-first design</t>
        </is>
      </c>
      <c r="L4" s="17">
        <f>J4/$J$20</f>
        <v/>
      </c>
    </row>
    <row r="5">
      <c r="A5" s="13" t="n">
        <v>2</v>
      </c>
      <c r="B5" s="13" t="inlineStr">
        <is>
          <t>Phase 1</t>
        </is>
      </c>
      <c r="C5" s="14" t="inlineStr">
        <is>
          <t>A. แพลตฟอร์มหลัก</t>
        </is>
      </c>
      <c r="D5" s="14" t="inlineStr">
        <is>
          <t>พัฒนาโครงสร้าง Web Application (Routing, Responsive, Hosting Setup)</t>
        </is>
      </c>
      <c r="E5" s="13" t="n">
        <v>1</v>
      </c>
      <c r="F5" s="13" t="inlineStr">
        <is>
          <t>งาน</t>
        </is>
      </c>
      <c r="G5" s="13" t="n">
        <v>4</v>
      </c>
      <c r="H5" s="15">
        <f>E5*G5</f>
        <v/>
      </c>
      <c r="I5" s="16">
        <f>สมมติฐาน!$B$10</f>
        <v/>
      </c>
      <c r="J5" s="16">
        <f>H5*I5</f>
        <v/>
      </c>
      <c r="K5" s="14" t="inlineStr"/>
      <c r="L5" s="17">
        <f>J5/$J$20</f>
        <v/>
      </c>
    </row>
    <row r="6">
      <c r="A6" s="13" t="n">
        <v>3</v>
      </c>
      <c r="B6" s="13" t="inlineStr">
        <is>
          <t>Phase 1</t>
        </is>
      </c>
      <c r="C6" s="14" t="inlineStr">
        <is>
          <t>A. แพลตฟอร์มหลัก</t>
        </is>
      </c>
      <c r="D6" s="14" t="inlineStr">
        <is>
          <t>ระบบส่งต่อ/เข้าถึงผ่าน LINE (Share Link / LIFF, OG Meta)</t>
        </is>
      </c>
      <c r="E6" s="13" t="n">
        <v>1</v>
      </c>
      <c r="F6" s="13" t="inlineStr">
        <is>
          <t>งาน</t>
        </is>
      </c>
      <c r="G6" s="13" t="n">
        <v>3</v>
      </c>
      <c r="H6" s="15">
        <f>E6*G6</f>
        <v/>
      </c>
      <c r="I6" s="16">
        <f>สมมติฐาน!$B$10</f>
        <v/>
      </c>
      <c r="J6" s="16">
        <f>H6*I6</f>
        <v/>
      </c>
      <c r="K6" s="14" t="inlineStr"/>
      <c r="L6" s="17">
        <f>J6/$J$20</f>
        <v/>
      </c>
    </row>
    <row r="7">
      <c r="A7" s="13" t="n">
        <v>4</v>
      </c>
      <c r="B7" s="13" t="inlineStr">
        <is>
          <t>Phase 1</t>
        </is>
      </c>
      <c r="C7" s="14" t="inlineStr">
        <is>
          <t>B. เนื้อหา</t>
        </is>
      </c>
      <c r="D7" s="14" t="inlineStr">
        <is>
          <t>ระบบ Flow วิดีโอ -&gt; เกม -&gt; หัวข้อถัดไป (ต่อ 1 หัวข้อ)</t>
        </is>
      </c>
      <c r="E7" s="13" t="n">
        <v>3</v>
      </c>
      <c r="F7" s="13" t="inlineStr">
        <is>
          <t>หัวข้อ</t>
        </is>
      </c>
      <c r="G7" s="13" t="n">
        <v>2</v>
      </c>
      <c r="H7" s="15">
        <f>E7*G7</f>
        <v/>
      </c>
      <c r="I7" s="16">
        <f>สมมติฐาน!$B$10</f>
        <v/>
      </c>
      <c r="J7" s="16">
        <f>H7*I7</f>
        <v/>
      </c>
      <c r="K7" s="14" t="inlineStr">
        <is>
          <t>รวม 3 หัวข้อหลักตาม TOR</t>
        </is>
      </c>
      <c r="L7" s="17">
        <f>J7/$J$20</f>
        <v/>
      </c>
    </row>
    <row r="8">
      <c r="A8" s="13" t="n">
        <v>5</v>
      </c>
      <c r="B8" s="13" t="inlineStr">
        <is>
          <t>Phase 1</t>
        </is>
      </c>
      <c r="C8" s="14" t="inlineStr">
        <is>
          <t>C. เกมโต้ตอบ</t>
        </is>
      </c>
      <c r="D8" s="14" t="inlineStr">
        <is>
          <t>พัฒนาเกมย่อยรูปแบบ "AI or not?" (1 เกม/หัวข้อ)</t>
        </is>
      </c>
      <c r="E8" s="13" t="n">
        <v>3</v>
      </c>
      <c r="F8" s="13" t="inlineStr">
        <is>
          <t>เกม</t>
        </is>
      </c>
      <c r="G8" s="13" t="n">
        <v>4.5</v>
      </c>
      <c r="H8" s="15">
        <f>E8*G8</f>
        <v/>
      </c>
      <c r="I8" s="16">
        <f>สมมติฐาน!$B$10</f>
        <v/>
      </c>
      <c r="J8" s="16">
        <f>H8*I8</f>
        <v/>
      </c>
      <c r="K8" s="14" t="inlineStr">
        <is>
          <t>MVP: 1 เกมต่อหัวข้อ</t>
        </is>
      </c>
      <c r="L8" s="17">
        <f>J8/$J$20</f>
        <v/>
      </c>
    </row>
    <row r="9">
      <c r="A9" s="13" t="n">
        <v>6</v>
      </c>
      <c r="B9" s="13" t="inlineStr">
        <is>
          <t>Phase 1</t>
        </is>
      </c>
      <c r="C9" s="14" t="inlineStr">
        <is>
          <t>D. ข้อมูล</t>
        </is>
      </c>
      <c r="D9" s="14" t="inlineStr">
        <is>
          <t>ระบบเก็บข้อมูลอายุ + ตำแหน่งผู้เล่น (Backend + Database)</t>
        </is>
      </c>
      <c r="E9" s="13" t="n">
        <v>1</v>
      </c>
      <c r="F9" s="13" t="inlineStr">
        <is>
          <t>งาน</t>
        </is>
      </c>
      <c r="G9" s="13" t="n">
        <v>5</v>
      </c>
      <c r="H9" s="15">
        <f>E9*G9</f>
        <v/>
      </c>
      <c r="I9" s="16">
        <f>สมมติฐาน!$B$10</f>
        <v/>
      </c>
      <c r="J9" s="16">
        <f>H9*I9</f>
        <v/>
      </c>
      <c r="K9" s="14" t="inlineStr"/>
      <c r="L9" s="17">
        <f>J9/$J$20</f>
        <v/>
      </c>
    </row>
    <row r="10">
      <c r="A10" s="13" t="n">
        <v>7</v>
      </c>
      <c r="B10" s="13" t="inlineStr">
        <is>
          <t>Phase 1</t>
        </is>
      </c>
      <c r="C10" s="14" t="inlineStr">
        <is>
          <t>E. QA/Deploy</t>
        </is>
      </c>
      <c r="D10" s="14" t="inlineStr">
        <is>
          <t>ทดสอบระบบ/Usability กับผู้สูงอายุ หลายอุปกรณ์</t>
        </is>
      </c>
      <c r="E10" s="13" t="n">
        <v>1</v>
      </c>
      <c r="F10" s="13" t="inlineStr">
        <is>
          <t>งาน</t>
        </is>
      </c>
      <c r="G10" s="13" t="n">
        <v>4</v>
      </c>
      <c r="H10" s="15">
        <f>E10*G10</f>
        <v/>
      </c>
      <c r="I10" s="16">
        <f>สมมติฐาน!$B$10</f>
        <v/>
      </c>
      <c r="J10" s="16">
        <f>H10*I10</f>
        <v/>
      </c>
      <c r="K10" s="14" t="inlineStr"/>
      <c r="L10" s="17">
        <f>J10/$J$20</f>
        <v/>
      </c>
    </row>
    <row r="11">
      <c r="A11" s="13" t="n">
        <v>8</v>
      </c>
      <c r="B11" s="13" t="inlineStr">
        <is>
          <t>Phase 1</t>
        </is>
      </c>
      <c r="C11" s="14" t="inlineStr">
        <is>
          <t>E. QA/Deploy</t>
        </is>
      </c>
      <c r="D11" s="14" t="inlineStr">
        <is>
          <t>Deploy ระบบ / Domain / SSL / Hosting</t>
        </is>
      </c>
      <c r="E11" s="13" t="n">
        <v>1</v>
      </c>
      <c r="F11" s="13" t="inlineStr">
        <is>
          <t>งาน</t>
        </is>
      </c>
      <c r="G11" s="13" t="n">
        <v>2</v>
      </c>
      <c r="H11" s="15">
        <f>E11*G11</f>
        <v/>
      </c>
      <c r="I11" s="16">
        <f>สมมติฐาน!$B$10</f>
        <v/>
      </c>
      <c r="J11" s="16">
        <f>H11*I11</f>
        <v/>
      </c>
      <c r="K11" s="14" t="inlineStr"/>
      <c r="L11" s="17">
        <f>J11/$J$20</f>
        <v/>
      </c>
    </row>
    <row r="12">
      <c r="A12" s="13" t="n">
        <v>9</v>
      </c>
      <c r="B12" s="13" t="inlineStr">
        <is>
          <t>Phase 1</t>
        </is>
      </c>
      <c r="C12" s="14" t="inlineStr">
        <is>
          <t>F. บริหารโครงการ</t>
        </is>
      </c>
      <c r="D12" s="14" t="inlineStr">
        <is>
          <t>PM / ประสานงาน (Phase 1)</t>
        </is>
      </c>
      <c r="E12" s="13" t="n">
        <v>1</v>
      </c>
      <c r="F12" s="13" t="inlineStr">
        <is>
          <t>งาน</t>
        </is>
      </c>
      <c r="G12" s="13" t="n">
        <v>4</v>
      </c>
      <c r="H12" s="15">
        <f>E12*G12</f>
        <v/>
      </c>
      <c r="I12" s="16">
        <f>สมมติฐาน!$B$10</f>
        <v/>
      </c>
      <c r="J12" s="16">
        <f>H12*I12</f>
        <v/>
      </c>
      <c r="K12" s="14" t="inlineStr"/>
      <c r="L12" s="17">
        <f>J12/$J$20</f>
        <v/>
      </c>
    </row>
    <row r="13">
      <c r="A13" s="13" t="n">
        <v>10</v>
      </c>
      <c r="B13" s="13" t="inlineStr">
        <is>
          <t>Phase 1</t>
        </is>
      </c>
      <c r="C13" s="14" t="inlineStr">
        <is>
          <t>F. บริหารโครงการ</t>
        </is>
      </c>
      <c r="D13" s="14" t="inlineStr">
        <is>
          <t>สนับสนุนหน้างาน Pilot เชียงใหม่/แพร่/น่าน</t>
        </is>
      </c>
      <c r="E13" s="13" t="n">
        <v>3</v>
      </c>
      <c r="F13" s="13" t="inlineStr">
        <is>
          <t>ครั้ง</t>
        </is>
      </c>
      <c r="G13" s="13" t="n">
        <v>1</v>
      </c>
      <c r="H13" s="15">
        <f>E13*G13</f>
        <v/>
      </c>
      <c r="I13" s="16">
        <f>สมมติฐาน!$B$10</f>
        <v/>
      </c>
      <c r="J13" s="16">
        <f>H13*I13</f>
        <v/>
      </c>
      <c r="K13" s="14" t="inlineStr">
        <is>
          <t>3 จังหวัด</t>
        </is>
      </c>
      <c r="L13" s="17">
        <f>J13/$J$20</f>
        <v/>
      </c>
    </row>
    <row r="14">
      <c r="A14" s="18" t="n">
        <v>11</v>
      </c>
      <c r="B14" s="18" t="inlineStr">
        <is>
          <t>Phase 2 (ก.ย.-ต.ค. 69 ต่อยอด)</t>
        </is>
      </c>
      <c r="C14" s="19" t="inlineStr">
        <is>
          <t>C. เกมโต้ตอบ</t>
        </is>
      </c>
      <c r="D14" s="19" t="inlineStr">
        <is>
          <t>เพิ่มเกมย่อยอีกหัวข้อละ 1 เกม (รวม 3 เกมเพิ่ม)</t>
        </is>
      </c>
      <c r="E14" s="18" t="n">
        <v>3</v>
      </c>
      <c r="F14" s="18" t="inlineStr">
        <is>
          <t>เกม</t>
        </is>
      </c>
      <c r="G14" s="18" t="n">
        <v>4.5</v>
      </c>
      <c r="H14" s="20">
        <f>E14*G14</f>
        <v/>
      </c>
      <c r="I14" s="21">
        <f>สมมติฐาน!$B$10</f>
        <v/>
      </c>
      <c r="J14" s="21">
        <f>H14*I14</f>
        <v/>
      </c>
      <c r="K14" s="19" t="inlineStr">
        <is>
          <t>ขยายเป็น 2 เกม/หัวข้อ ถ้างบเพียงพอ</t>
        </is>
      </c>
      <c r="L14" s="22">
        <f>J14/$J$20</f>
        <v/>
      </c>
    </row>
    <row r="15">
      <c r="A15" s="18" t="n">
        <v>12</v>
      </c>
      <c r="B15" s="18" t="inlineStr">
        <is>
          <t>Phase 2</t>
        </is>
      </c>
      <c r="C15" s="19" t="inlineStr">
        <is>
          <t>D. ข้อมูล</t>
        </is>
      </c>
      <c r="D15" s="19" t="inlineStr">
        <is>
          <t>Dashboard สรุปผล/ประเมินผลโครงการ</t>
        </is>
      </c>
      <c r="E15" s="18" t="n">
        <v>1</v>
      </c>
      <c r="F15" s="18" t="inlineStr">
        <is>
          <t>งาน</t>
        </is>
      </c>
      <c r="G15" s="18" t="n">
        <v>4</v>
      </c>
      <c r="H15" s="20">
        <f>E15*G15</f>
        <v/>
      </c>
      <c r="I15" s="21">
        <f>สมมติฐาน!$B$10</f>
        <v/>
      </c>
      <c r="J15" s="21">
        <f>H15*I15</f>
        <v/>
      </c>
      <c r="K15" s="19" t="inlineStr"/>
      <c r="L15" s="22">
        <f>J15/$J$20</f>
        <v/>
      </c>
    </row>
    <row r="16">
      <c r="A16" s="18" t="n">
        <v>13</v>
      </c>
      <c r="B16" s="18" t="inlineStr">
        <is>
          <t>Phase 2</t>
        </is>
      </c>
      <c r="C16" s="19" t="inlineStr">
        <is>
          <t>E. QA/Deploy</t>
        </is>
      </c>
      <c r="D16" s="19" t="inlineStr">
        <is>
          <t>ปรับปรุง/แก้ไขบั๊กจาก Feedback รอบ Pilot</t>
        </is>
      </c>
      <c r="E16" s="18" t="n">
        <v>1</v>
      </c>
      <c r="F16" s="18" t="inlineStr">
        <is>
          <t>งาน</t>
        </is>
      </c>
      <c r="G16" s="18" t="n">
        <v>3</v>
      </c>
      <c r="H16" s="20">
        <f>E16*G16</f>
        <v/>
      </c>
      <c r="I16" s="21">
        <f>สมมติฐาน!$B$10</f>
        <v/>
      </c>
      <c r="J16" s="21">
        <f>H16*I16</f>
        <v/>
      </c>
      <c r="K16" s="19" t="inlineStr"/>
      <c r="L16" s="22">
        <f>J16/$J$20</f>
        <v/>
      </c>
    </row>
    <row r="17">
      <c r="A17" s="18" t="n">
        <v>14</v>
      </c>
      <c r="B17" s="18" t="inlineStr">
        <is>
          <t>Phase 2</t>
        </is>
      </c>
      <c r="C17" s="19" t="inlineStr">
        <is>
          <t>F. บริหารโครงการ</t>
        </is>
      </c>
      <c r="D17" s="19" t="inlineStr">
        <is>
          <t>PM / ประสานงาน (Phase 2)</t>
        </is>
      </c>
      <c r="E17" s="18" t="n">
        <v>1</v>
      </c>
      <c r="F17" s="18" t="inlineStr">
        <is>
          <t>งาน</t>
        </is>
      </c>
      <c r="G17" s="18" t="n">
        <v>3</v>
      </c>
      <c r="H17" s="20">
        <f>E17*G17</f>
        <v/>
      </c>
      <c r="I17" s="21">
        <f>สมมติฐาน!$B$10</f>
        <v/>
      </c>
      <c r="J17" s="21">
        <f>H17*I17</f>
        <v/>
      </c>
      <c r="K17" s="19" t="inlineStr"/>
      <c r="L17" s="22">
        <f>J17/$J$20</f>
        <v/>
      </c>
    </row>
    <row r="18">
      <c r="A18" s="23" t="n"/>
      <c r="B18" s="23" t="n"/>
      <c r="C18" s="23" t="n"/>
      <c r="D18" s="23" t="inlineStr">
        <is>
          <t>รวม (ก่อนสำรอง)</t>
        </is>
      </c>
      <c r="E18" s="23" t="n"/>
      <c r="F18" s="23" t="n"/>
      <c r="G18" s="23" t="n"/>
      <c r="H18" s="24">
        <f>SUM(H4:H17)</f>
        <v/>
      </c>
      <c r="I18" s="23" t="n"/>
      <c r="J18" s="25">
        <f>SUM(J4:J17)</f>
        <v/>
      </c>
      <c r="K18" s="23" t="n"/>
      <c r="L18" s="23" t="n"/>
    </row>
    <row r="19">
      <c r="A19" s="26" t="n"/>
      <c r="B19" s="26" t="n"/>
      <c r="C19" s="26" t="inlineStr">
        <is>
          <t>G. สำรอง</t>
        </is>
      </c>
      <c r="D19" s="26" t="inlineStr">
        <is>
          <t>Contingency Buffer (กันความคลาดเคลื่อนประมาณการ)</t>
        </is>
      </c>
      <c r="E19" s="27" t="n">
        <v>0.1</v>
      </c>
      <c r="F19" s="26" t="inlineStr">
        <is>
          <t>% ของ Man-day รวม</t>
        </is>
      </c>
      <c r="G19" s="26" t="n"/>
      <c r="H19" s="28">
        <f>H18*E19</f>
        <v/>
      </c>
      <c r="I19" s="29">
        <f>สมมติฐาน!$B$10</f>
        <v/>
      </c>
      <c r="J19" s="29">
        <f>H19*I19</f>
        <v/>
      </c>
      <c r="K19" s="26" t="n"/>
      <c r="L19" s="30">
        <f>J19/$J$20</f>
        <v/>
      </c>
    </row>
    <row r="20">
      <c r="A20" s="31" t="n"/>
      <c r="B20" s="31" t="n"/>
      <c r="C20" s="31" t="n"/>
      <c r="D20" s="31" t="inlineStr">
        <is>
          <t>รวมทั้งหมด (Man-day / งบประมาณ)</t>
        </is>
      </c>
      <c r="E20" s="31" t="n"/>
      <c r="F20" s="31" t="n"/>
      <c r="G20" s="31" t="n"/>
      <c r="H20" s="32">
        <f>H18+H19</f>
        <v/>
      </c>
      <c r="I20" s="31" t="n"/>
      <c r="J20" s="33">
        <f>J18+J19</f>
        <v/>
      </c>
      <c r="K20" s="31" t="n"/>
      <c r="L20" s="34">
        <f>J20/$J$20</f>
        <v/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11" t="inlineStr">
        <is>
          <t>คำแนะนำสรุปการวางขอบเขตงานให้พอดีงบ 360,000 บาท</t>
        </is>
      </c>
    </row>
    <row r="3">
      <c r="A3" s="35" t="inlineStr">
        <is>
          <t>1. ชีต 'สมมติฐาน' มีสูตร Solver ที่บังคับให้ผลรวมท้ายตาราง WBS เท่ากับงบเป้าหมายพอดีเสมอ: อัตรา/วัน Auto = งบเป้าหมาย (ตั้งต้น 360,000) หาร ด้วยจำนวน Man-day รวมของ WBS ทุกแถวใน WBS ดึงอัตรานี้มาใช้ ผลคือคอลัมน์ 'รวมเงิน' ของแต่ละงาน และผลรวมทั้งหมด จะบวกกันได้ 360,000 บาทพอดีเสมอ ไม่ว่าจะปรับปริมาณงานอย่างไร</t>
        </is>
      </c>
    </row>
    <row r="4"/>
    <row r="6">
      <c r="A6" s="35" t="inlineStr">
        <is>
          <t>2. คอลัมน์ 'สัดส่วนงบ (%)' ท้ายตาราง WBS บอกว่าแต่ละงานกิน งบไปกี่ % ของ 360,000 ใช้ตอบคำถาม 'ต้องทำอะไรเท่าไหร่บ้าง' ได้ตรงตัว (ทั้ง Man-day และบาทต่อรายการ)</t>
        </is>
      </c>
    </row>
    <row r="7"/>
    <row r="9">
      <c r="A9" s="35" t="inlineStr">
        <is>
          <t>3. Phase 1 (ต้องเสร็จก่อน 6 ส.ค. 69 - Pilot เชียงใหม่): แพลตฟอร์มหลัก + 3 หัวข้อเนื้อหา + เกม 1 เกม/หัวข้อ (3 เกม) + ระบบเก็บข้อมูล + ทดสอบ/deploy</t>
        </is>
      </c>
    </row>
    <row r="10"/>
    <row r="12">
      <c r="A12" s="35" t="inlineStr">
        <is>
          <t>4. Phase 2 (ก.ย.-ต.ค. 69 ก่อนปิดโครงการ): เพิ่มเกมอีกหัวข้อละ 1 เกม (รวมเป็น 2 เกม/หัวข้อ = 6 เกมทั้งหมด) + Dashboard ประเมินผล + แก้บั๊กจาก Feedback</t>
        </is>
      </c>
    </row>
    <row r="13"/>
    <row r="15">
      <c r="A15" s="35" t="inlineStr">
        <is>
          <t>5. ตรวจสอบความสมเหตุสมผล: ชีต 'สมมติฐาน' มีแถว 'อัตราตลาดอ้างอิง (Manual)' ให้เทียบว่าถ้าใช้อัตราตลาดจริง (ตั้งต้น 3,000 บาท/วัน) งานทั้งหมดนี้ควรใช้งบเท่าไหร่ ถ้าต่ำกว่า 360,000 มาก แปลว่ามีงบเหลือ ควรเพิ่มขอบเขตงาน (เพิ่มเกม/ฟีเจอร์) ถ้าสูงกว่า 360,000 แปลว่าขอบเขตงานเกินงบจริง ต้องตัดงานออกแทนที่จะกดอัตรา/วันให้ต่ำผิดปกติ</t>
        </is>
      </c>
    </row>
    <row r="16"/>
    <row r="18">
      <c r="A18" s="35" t="inlineStr">
        <is>
          <t>6. ถ้าต้องการให้พอดีเฉพาะ 'งบพัฒนาระบบ' (ไม่รวมค่าอบรม/เดินทาง/วิทยากร) ให้เปลี่ยนสูตรในช่อง 'งบเป้าหมายที่ต้องการให้ WBS รวมได้พอดี' จาก =B3 เป็น =B5</t>
        </is>
      </c>
    </row>
    <row r="19"/>
    <row r="21">
      <c r="A21" s="35" t="inlineStr">
        <is>
          <t>7. ตัวเลข Man-day และอัตราตลาดอ้างอิงในไฟล์นี้เป็นการประมาณการอ้างอิงตลาด ควรให้ผู้พัฒนา/ผู้รับจ้างจริงประเมินใหม่อีกครั้งก่อนเซ็นสัญญา</t>
        </is>
      </c>
    </row>
    <row r="22"/>
  </sheetData>
  <mergeCells count="8">
    <mergeCell ref="A12:B13"/>
    <mergeCell ref="A15:B16"/>
    <mergeCell ref="A6:B7"/>
    <mergeCell ref="A18:B19"/>
    <mergeCell ref="A1:B1"/>
    <mergeCell ref="A21:B22"/>
    <mergeCell ref="A9:B10"/>
    <mergeCell ref="A3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2026-07-08T11:52:39Z</dcterms:created>
  <dcterms:modified xmlns:dcterms="http://purl.org/dc/terms/" xmlns:xsi="http://www.w3.org/2001/XMLSchema-instance" xsi:type="dcterms:W3CDTF">2026-07-08T11:52:39Z</dcterms:modified>
</cp:coreProperties>
</file>